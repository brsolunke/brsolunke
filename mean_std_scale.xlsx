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calcChain.xml><?xml version="1.0" encoding="utf-8"?>
<calcChain xmlns="http://schemas.openxmlformats.org/spreadsheetml/2006/main">
  <c r="D13" i="1"/>
  <c r="E4"/>
  <c r="E5"/>
  <c r="D12"/>
  <c r="D11"/>
  <c r="D16"/>
  <c r="J13"/>
  <c r="H12"/>
  <c r="G11"/>
  <c r="F5"/>
  <c r="F4"/>
  <c r="E10"/>
  <c r="E9"/>
  <c r="E8"/>
  <c r="E7"/>
  <c r="E6"/>
  <c r="G12" l="1"/>
  <c r="H5" s="1"/>
  <c r="H4" l="1"/>
</calcChain>
</file>

<file path=xl/sharedStrings.xml><?xml version="1.0" encoding="utf-8"?>
<sst xmlns="http://schemas.openxmlformats.org/spreadsheetml/2006/main" count="14" uniqueCount="13">
  <si>
    <t>STD=</t>
  </si>
  <si>
    <t>Mean=</t>
  </si>
  <si>
    <t>Data points</t>
  </si>
  <si>
    <t>Standarization ( (Di-Mean)/STD</t>
  </si>
  <si>
    <t>Salary</t>
  </si>
  <si>
    <t>Age</t>
  </si>
  <si>
    <t>Dt points</t>
  </si>
  <si>
    <t>Meadian</t>
  </si>
  <si>
    <t>stndaraization</t>
  </si>
  <si>
    <t>Mode=</t>
  </si>
  <si>
    <t>variance</t>
  </si>
  <si>
    <t>Mode</t>
  </si>
  <si>
    <t>24 25 45 21 23 67 22 34 22 23  22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</si>
</sst>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6"/>
  <sheetViews>
    <sheetView tabSelected="1" topLeftCell="B1" workbookViewId="0">
      <selection activeCell="E9" sqref="E9"/>
    </sheetView>
  </sheetViews>
  <sheetFormatPr defaultRowHeight="14.4"/>
  <cols>
    <col min="4" max="4" width="19" customWidth="1"/>
    <col min="5" max="5" width="42.44140625" customWidth="1"/>
    <col min="6" max="6" width="13.21875" customWidth="1"/>
    <col min="7" max="7" width="10.33203125" customWidth="1"/>
    <col min="8" max="8" width="11.5546875" customWidth="1"/>
  </cols>
  <sheetData>
    <row r="2" spans="1:10">
      <c r="A2" s="2" t="s">
        <v>4</v>
      </c>
      <c r="B2" s="2"/>
      <c r="C2" s="2"/>
      <c r="D2" s="2"/>
      <c r="E2" s="2"/>
      <c r="F2" s="2"/>
      <c r="G2" s="2" t="s">
        <v>5</v>
      </c>
      <c r="H2" s="2"/>
      <c r="I2" s="2"/>
    </row>
    <row r="3" spans="1:10" ht="18">
      <c r="D3" s="3" t="s">
        <v>2</v>
      </c>
      <c r="E3" s="3" t="s">
        <v>3</v>
      </c>
      <c r="F3" s="3"/>
      <c r="G3" t="s">
        <v>6</v>
      </c>
      <c r="H3" t="s">
        <v>8</v>
      </c>
    </row>
    <row r="4" spans="1:10" ht="18">
      <c r="D4" s="4">
        <v>161</v>
      </c>
      <c r="E4" s="4">
        <f>(D4-D11)/D12</f>
        <v>-0.75262082966933463</v>
      </c>
      <c r="F4" s="4">
        <f>161-198</f>
        <v>-37</v>
      </c>
      <c r="G4" s="4">
        <v>20</v>
      </c>
      <c r="H4">
        <f>(G4-G11)/G12</f>
        <v>-0.45826652010096386</v>
      </c>
    </row>
    <row r="5" spans="1:10" ht="18">
      <c r="D5" s="4">
        <v>205</v>
      </c>
      <c r="E5" s="4">
        <f>(D5-D11)/D12</f>
        <v>0.14238772453203627</v>
      </c>
      <c r="F5" s="4">
        <f>-37/D12</f>
        <v>-0.75262082966933463</v>
      </c>
      <c r="G5" s="4">
        <v>22</v>
      </c>
      <c r="H5">
        <f>(G5-G11)/G12</f>
        <v>-0.22913326005048193</v>
      </c>
      <c r="J5">
        <v>24</v>
      </c>
    </row>
    <row r="6" spans="1:10" ht="18">
      <c r="D6" s="4">
        <v>300</v>
      </c>
      <c r="E6" s="4">
        <f>(D6-D11)/D12</f>
        <v>2.0747925574668145</v>
      </c>
      <c r="F6" s="3"/>
      <c r="G6" s="4">
        <v>23</v>
      </c>
      <c r="J6">
        <v>23</v>
      </c>
    </row>
    <row r="7" spans="1:10" ht="18">
      <c r="D7" s="4">
        <v>160</v>
      </c>
      <c r="E7" s="4">
        <f>(D7-D11)/D12</f>
        <v>-0.77296193317391115</v>
      </c>
      <c r="F7" s="3"/>
      <c r="G7" s="4">
        <v>24</v>
      </c>
      <c r="J7">
        <v>29</v>
      </c>
    </row>
    <row r="8" spans="1:10" ht="18">
      <c r="D8" s="4">
        <v>150</v>
      </c>
      <c r="E8" s="4">
        <f>(D8-D11)/D12</f>
        <v>-0.97637296821967734</v>
      </c>
      <c r="F8" s="3"/>
      <c r="G8" s="4">
        <v>30</v>
      </c>
      <c r="J8">
        <v>23</v>
      </c>
    </row>
    <row r="9" spans="1:10" ht="18">
      <c r="D9" s="4">
        <v>230</v>
      </c>
      <c r="E9" s="4">
        <f>(D9-D11)/D12</f>
        <v>0.65091531214645149</v>
      </c>
      <c r="F9" s="3"/>
      <c r="G9" s="4">
        <v>35</v>
      </c>
      <c r="J9">
        <v>55</v>
      </c>
    </row>
    <row r="10" spans="1:10" ht="18">
      <c r="D10" s="4">
        <v>180</v>
      </c>
      <c r="E10" s="4">
        <f>(D10-D11)/D12</f>
        <v>-0.366139863082379</v>
      </c>
      <c r="F10" s="3"/>
      <c r="G10" s="4">
        <v>48</v>
      </c>
      <c r="J10">
        <v>34</v>
      </c>
    </row>
    <row r="11" spans="1:10" ht="18">
      <c r="C11" t="s">
        <v>1</v>
      </c>
      <c r="D11" s="4">
        <f>AVERAGE(D4:D10)</f>
        <v>198</v>
      </c>
      <c r="E11" s="3"/>
      <c r="F11" s="3" t="s">
        <v>7</v>
      </c>
      <c r="G11">
        <f>MEDIAN(G4:G10)</f>
        <v>24</v>
      </c>
      <c r="J11">
        <v>45</v>
      </c>
    </row>
    <row r="12" spans="1:10" ht="18">
      <c r="C12" t="s">
        <v>0</v>
      </c>
      <c r="D12" s="4">
        <f>STDEVP(D4:D10)</f>
        <v>49.161541298632436</v>
      </c>
      <c r="E12" s="3"/>
      <c r="F12" s="3" t="s">
        <v>0</v>
      </c>
      <c r="G12">
        <f>STDEVP(G4:G10,G11)</f>
        <v>8.7285451250480453</v>
      </c>
      <c r="H12" t="e">
        <f>mod</f>
        <v>#NAME?</v>
      </c>
      <c r="J12">
        <v>23</v>
      </c>
    </row>
    <row r="13" spans="1:10">
      <c r="D13" s="1">
        <f>SQRT(SUMSQ(D4-D11,D5-D11,D6-D11,D7-D11,D8-D11,D9-D11,D10-D11)/7)</f>
        <v>49.161541298632436</v>
      </c>
      <c r="I13" t="s">
        <v>9</v>
      </c>
      <c r="J13">
        <f>MODE(J5:J12)</f>
        <v>23</v>
      </c>
    </row>
    <row r="14" spans="1:10" ht="18">
      <c r="E14" s="3" t="s">
        <v>12</v>
      </c>
      <c r="F14" t="s">
        <v>11</v>
      </c>
      <c r="G14">
        <v>22</v>
      </c>
    </row>
    <row r="16" spans="1:10">
      <c r="C16" t="s">
        <v>10</v>
      </c>
      <c r="D16">
        <f>COVAR(D4,D11)</f>
        <v>0</v>
      </c>
    </row>
  </sheetData>
  <sortState ref="G4:G10">
    <sortCondition ref="G4:G10"/>
  </sortState>
  <mergeCells count="2">
    <mergeCell ref="A2:F2"/>
    <mergeCell ref="G2:I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</dc:creator>
  <cp:lastModifiedBy>Soham</cp:lastModifiedBy>
  <dcterms:created xsi:type="dcterms:W3CDTF">2021-09-22T17:42:04Z</dcterms:created>
  <dcterms:modified xsi:type="dcterms:W3CDTF">2021-09-29T08:44:50Z</dcterms:modified>
</cp:coreProperties>
</file>